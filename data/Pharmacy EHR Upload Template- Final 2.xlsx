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inka\Documents\EHR-Africa\data\"/>
    </mc:Choice>
  </mc:AlternateContent>
  <xr:revisionPtr revIDLastSave="0" documentId="13_ncr:1_{2200729C-ACF5-4235-B230-061D45B07D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2" i="1"/>
  <c r="N3" i="1"/>
  <c r="N4" i="1"/>
  <c r="N5" i="1"/>
  <c r="N6" i="1"/>
  <c r="N7" i="1"/>
  <c r="N8" i="1"/>
  <c r="N9" i="1"/>
  <c r="N10" i="1"/>
  <c r="N11" i="1"/>
  <c r="N12" i="1"/>
  <c r="N13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2" i="1"/>
</calcChain>
</file>

<file path=xl/sharedStrings.xml><?xml version="1.0" encoding="utf-8"?>
<sst xmlns="http://schemas.openxmlformats.org/spreadsheetml/2006/main" count="561" uniqueCount="248">
  <si>
    <t>Medication Name</t>
  </si>
  <si>
    <t>Manufacturer Name</t>
  </si>
  <si>
    <t>Brand Name</t>
  </si>
  <si>
    <t>Strength</t>
  </si>
  <si>
    <t>Form</t>
  </si>
  <si>
    <t>Count per Card</t>
  </si>
  <si>
    <t>Quantity on Hand</t>
  </si>
  <si>
    <t>Unit of Measure</t>
  </si>
  <si>
    <t>Expiry Date</t>
  </si>
  <si>
    <t>Selling Price per Unit</t>
  </si>
  <si>
    <t>Cost per Unit</t>
  </si>
  <si>
    <t>Unit for Pricing</t>
  </si>
  <si>
    <t>Batch Number</t>
  </si>
  <si>
    <t>Amlodipine</t>
  </si>
  <si>
    <t>Genesis Pharma</t>
  </si>
  <si>
    <t>Eden</t>
  </si>
  <si>
    <t>10mg</t>
  </si>
  <si>
    <t>Tablet</t>
  </si>
  <si>
    <t>14</t>
  </si>
  <si>
    <t>224</t>
  </si>
  <si>
    <t>TABS</t>
  </si>
  <si>
    <t>6/1/2027</t>
  </si>
  <si>
    <t>1500</t>
  </si>
  <si>
    <t>TAB</t>
  </si>
  <si>
    <t>4TG25</t>
  </si>
  <si>
    <t>Lisinopril</t>
  </si>
  <si>
    <t>McW Healthcare (P) Ltd</t>
  </si>
  <si>
    <t>Zisty</t>
  </si>
  <si>
    <t>140</t>
  </si>
  <si>
    <t>6/1/2028</t>
  </si>
  <si>
    <t>1400</t>
  </si>
  <si>
    <t>AF85401</t>
  </si>
  <si>
    <t>5mg</t>
  </si>
  <si>
    <t>56</t>
  </si>
  <si>
    <t>8/1/2027</t>
  </si>
  <si>
    <t>1100</t>
  </si>
  <si>
    <t>ALPA LABORATORIES LTD</t>
  </si>
  <si>
    <t>AG</t>
  </si>
  <si>
    <t>28</t>
  </si>
  <si>
    <t>3/1/2027</t>
  </si>
  <si>
    <t>900</t>
  </si>
  <si>
    <t>TE4078</t>
  </si>
  <si>
    <t>Ramipril+HCTZ</t>
  </si>
  <si>
    <t>MAY &amp; BAKER NIGERIA PLC</t>
  </si>
  <si>
    <t>THIAPRIL</t>
  </si>
  <si>
    <t>5/12.5mg</t>
  </si>
  <si>
    <t>10</t>
  </si>
  <si>
    <t>45</t>
  </si>
  <si>
    <t>11/1/2026</t>
  </si>
  <si>
    <t>200</t>
  </si>
  <si>
    <t>A240473</t>
  </si>
  <si>
    <t>Ramipril</t>
  </si>
  <si>
    <t>RELAX BIOTECH PVT. LTD.</t>
  </si>
  <si>
    <t>MULTICHRIS</t>
  </si>
  <si>
    <t>40</t>
  </si>
  <si>
    <t>1900</t>
  </si>
  <si>
    <t>435441</t>
  </si>
  <si>
    <t>Fidson Healthcare Plc</t>
  </si>
  <si>
    <t>Lisinopril 20</t>
  </si>
  <si>
    <t>20mg</t>
  </si>
  <si>
    <t>30</t>
  </si>
  <si>
    <t>2200</t>
  </si>
  <si>
    <t>CARD</t>
  </si>
  <si>
    <t>T4724001</t>
  </si>
  <si>
    <t>Amlodipine/Valsartan</t>
  </si>
  <si>
    <t>Avantika Medex Pvt. Ltd.</t>
  </si>
  <si>
    <t>Odyzat</t>
  </si>
  <si>
    <t>10/160mg</t>
  </si>
  <si>
    <t>3/1/2028</t>
  </si>
  <si>
    <t>T25016</t>
  </si>
  <si>
    <t>Bromazepam</t>
  </si>
  <si>
    <t>Swiss Pharma Nigeria Ltd.</t>
  </si>
  <si>
    <t>Talen</t>
  </si>
  <si>
    <t>3mg</t>
  </si>
  <si>
    <t>136</t>
  </si>
  <si>
    <t>7/1/2029</t>
  </si>
  <si>
    <t>50</t>
  </si>
  <si>
    <t>L224 135</t>
  </si>
  <si>
    <t>Labetalol</t>
  </si>
  <si>
    <t>POPULAR PHARMACEUTICALS LTD.</t>
  </si>
  <si>
    <t>Labet 200</t>
  </si>
  <si>
    <t>200mg</t>
  </si>
  <si>
    <t>100</t>
  </si>
  <si>
    <t>5/1/2027</t>
  </si>
  <si>
    <t>1200</t>
  </si>
  <si>
    <t>24E 0290</t>
  </si>
  <si>
    <t>5</t>
  </si>
  <si>
    <t>23K 0848</t>
  </si>
  <si>
    <t>Diazepam</t>
  </si>
  <si>
    <t>Unival</t>
  </si>
  <si>
    <t>9/1/2027</t>
  </si>
  <si>
    <t>500</t>
  </si>
  <si>
    <t>L222 131</t>
  </si>
  <si>
    <t>EVERGREEN MORNING STAR PHARM</t>
  </si>
  <si>
    <t>EINGDM. PLTD.</t>
  </si>
  <si>
    <t>1000</t>
  </si>
  <si>
    <t>7/1/2027</t>
  </si>
  <si>
    <t>M2524005</t>
  </si>
  <si>
    <t>VITABIOTICS (NIG.) LTD.</t>
  </si>
  <si>
    <t>Valinex-5</t>
  </si>
  <si>
    <t>5/1/2028</t>
  </si>
  <si>
    <t>TI8523</t>
  </si>
  <si>
    <t>Phenobarbitone</t>
  </si>
  <si>
    <t>Phenobarbiton</t>
  </si>
  <si>
    <t>e30mg</t>
  </si>
  <si>
    <t>1/1/2028</t>
  </si>
  <si>
    <t>300</t>
  </si>
  <si>
    <t>T36123</t>
  </si>
  <si>
    <t>Aspirin</t>
  </si>
  <si>
    <t>Juhel Nigeria Limited</t>
  </si>
  <si>
    <t>Vasoprin</t>
  </si>
  <si>
    <t>75mg</t>
  </si>
  <si>
    <t>510</t>
  </si>
  <si>
    <t>12/1/2026</t>
  </si>
  <si>
    <t>BN /1974</t>
  </si>
  <si>
    <t>185</t>
  </si>
  <si>
    <t>BN + 2089</t>
  </si>
  <si>
    <t>Juhel Hydrochlorothiazide</t>
  </si>
  <si>
    <t>Hydrex</t>
  </si>
  <si>
    <t>25mg</t>
  </si>
  <si>
    <t>1234</t>
  </si>
  <si>
    <t>250</t>
  </si>
  <si>
    <t>BN : 0216</t>
  </si>
  <si>
    <t>Clopidogrel</t>
  </si>
  <si>
    <t>Scott-Edil Pharmacia Ltd.</t>
  </si>
  <si>
    <t>Pocco</t>
  </si>
  <si>
    <t>20</t>
  </si>
  <si>
    <t>1/10/2027</t>
  </si>
  <si>
    <t>2300</t>
  </si>
  <si>
    <t>XT4K011</t>
  </si>
  <si>
    <t>Digitall Healthcare Ltd.</t>
  </si>
  <si>
    <t>Clodorel</t>
  </si>
  <si>
    <t>60</t>
  </si>
  <si>
    <t>8/1/2026</t>
  </si>
  <si>
    <t>COL3-13</t>
  </si>
  <si>
    <t>Atenolol</t>
  </si>
  <si>
    <t>EDEN U-K PHARM LTD</t>
  </si>
  <si>
    <t>100mg</t>
  </si>
  <si>
    <t>196</t>
  </si>
  <si>
    <t>950</t>
  </si>
  <si>
    <t>2401076</t>
  </si>
  <si>
    <t>50mg</t>
  </si>
  <si>
    <t>4/1/2026</t>
  </si>
  <si>
    <t>800</t>
  </si>
  <si>
    <t>2305004</t>
  </si>
  <si>
    <t>CHEZ RESOURCES PHARMA NIG LTD</t>
  </si>
  <si>
    <t>Chez</t>
  </si>
  <si>
    <t>6/1/2026</t>
  </si>
  <si>
    <t>TE3193</t>
  </si>
  <si>
    <t>70</t>
  </si>
  <si>
    <t>4/1/2029</t>
  </si>
  <si>
    <t>XT4A072</t>
  </si>
  <si>
    <t>Telmisartan</t>
  </si>
  <si>
    <t>FIRST J POCCO PHARMA LTD.</t>
  </si>
  <si>
    <t>40mg</t>
  </si>
  <si>
    <t>240801</t>
  </si>
  <si>
    <t>80mg</t>
  </si>
  <si>
    <t>240803</t>
  </si>
  <si>
    <t>Telmisartan/HCTZ</t>
  </si>
  <si>
    <t>Evans Therapeutics Ltd.</t>
  </si>
  <si>
    <t>Telsart-HCT</t>
  </si>
  <si>
    <t>40/12.5mg</t>
  </si>
  <si>
    <t>1/1/2027</t>
  </si>
  <si>
    <t>1300</t>
  </si>
  <si>
    <t>E404</t>
  </si>
  <si>
    <t>Simvastatin</t>
  </si>
  <si>
    <t>Crescent Pharma Ltd.</t>
  </si>
  <si>
    <t>Crescent</t>
  </si>
  <si>
    <t>756</t>
  </si>
  <si>
    <t>C24028</t>
  </si>
  <si>
    <t>Propranolol</t>
  </si>
  <si>
    <t>MULTICHRIS PHARM &amp; CHEMICAL CO</t>
  </si>
  <si>
    <t>MMPuAltNicYhris</t>
  </si>
  <si>
    <t>1800</t>
  </si>
  <si>
    <t>37681</t>
  </si>
  <si>
    <t>Propranol</t>
  </si>
  <si>
    <t>XT4H025</t>
  </si>
  <si>
    <t>Teva UK Limited</t>
  </si>
  <si>
    <t>Teva</t>
  </si>
  <si>
    <t>112</t>
  </si>
  <si>
    <t>2/1/2027</t>
  </si>
  <si>
    <t>PACK</t>
  </si>
  <si>
    <t>4B01BL</t>
  </si>
  <si>
    <t>Atorvastatin</t>
  </si>
  <si>
    <t>Astin-20</t>
  </si>
  <si>
    <t>210</t>
  </si>
  <si>
    <t>3000</t>
  </si>
  <si>
    <t>2401035A</t>
  </si>
  <si>
    <t>Astin-10</t>
  </si>
  <si>
    <t>2100</t>
  </si>
  <si>
    <t>2401034A</t>
  </si>
  <si>
    <t>Indapamide</t>
  </si>
  <si>
    <t>Niche Generics Limited</t>
  </si>
  <si>
    <t>2.5mg</t>
  </si>
  <si>
    <t>168</t>
  </si>
  <si>
    <t>BIDL24001</t>
  </si>
  <si>
    <t>Losartan</t>
  </si>
  <si>
    <t>Dezubik Pharmacy Ltd.</t>
  </si>
  <si>
    <t>SamJones</t>
  </si>
  <si>
    <t>392</t>
  </si>
  <si>
    <t>10/1/2026</t>
  </si>
  <si>
    <t>700</t>
  </si>
  <si>
    <t>GT24488</t>
  </si>
  <si>
    <t>XT5G024</t>
  </si>
  <si>
    <t>238</t>
  </si>
  <si>
    <t>550</t>
  </si>
  <si>
    <t>XT3J025</t>
  </si>
  <si>
    <t>35</t>
  </si>
  <si>
    <t>9/1/2026</t>
  </si>
  <si>
    <t>XT3J022</t>
  </si>
  <si>
    <t>Methyldopa</t>
  </si>
  <si>
    <t>Grace Drugs and Healthcare Ltd</t>
  </si>
  <si>
    <t>Alphamet</t>
  </si>
  <si>
    <t>250mg</t>
  </si>
  <si>
    <t>230740</t>
  </si>
  <si>
    <t>Aspen Pharmacate Nigeria Ltd</t>
  </si>
  <si>
    <t>Aldomet</t>
  </si>
  <si>
    <t>P0015697</t>
  </si>
  <si>
    <t>HOVID Bhd.</t>
  </si>
  <si>
    <t>Dopatab</t>
  </si>
  <si>
    <t>CD10507</t>
  </si>
  <si>
    <t>Valsartan</t>
  </si>
  <si>
    <t>Biometrics Nigeria Limited</t>
  </si>
  <si>
    <t>Valsartil</t>
  </si>
  <si>
    <t>90</t>
  </si>
  <si>
    <t>2450</t>
  </si>
  <si>
    <t>24003</t>
  </si>
  <si>
    <t>Nebivolol</t>
  </si>
  <si>
    <t>Micro Nova Pharmaceuticals Ind. Ltd.</t>
  </si>
  <si>
    <t>Nebilong</t>
  </si>
  <si>
    <t>270</t>
  </si>
  <si>
    <t>3200</t>
  </si>
  <si>
    <t>NBGY0033</t>
  </si>
  <si>
    <t>Nifedipine</t>
  </si>
  <si>
    <t>Unicure Pharmaceutical Ltd.</t>
  </si>
  <si>
    <t>Nifecure</t>
  </si>
  <si>
    <t>12</t>
  </si>
  <si>
    <t>80</t>
  </si>
  <si>
    <t>0701/1</t>
  </si>
  <si>
    <t>Gemini Pharmaceuticals Nigeria Ltd.</t>
  </si>
  <si>
    <t>Nifegem Retar</t>
  </si>
  <si>
    <t>d20mg</t>
  </si>
  <si>
    <t>54</t>
  </si>
  <si>
    <t>NF01K</t>
  </si>
  <si>
    <t>M&amp;B</t>
  </si>
  <si>
    <t>30mg</t>
  </si>
  <si>
    <t>29</t>
  </si>
  <si>
    <t>C2-42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</si>
</sst>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B1" workbookViewId="0">
      <selection activeCell="K1" sqref="K1"/>
    </sheetView>
  </sheetViews>
  <sheetFormatPr defaultRowHeight="14.4" x14ac:dyDescent="0.3"/>
  <cols>
    <col min="1" max="1" width="27.33203125" bestFit="1" customWidth="1"/>
    <col min="2" max="2" width="32.21875" bestFit="1" customWidth="1"/>
    <col min="3" max="3" width="15.21875" bestFit="1" customWidth="1"/>
    <col min="4" max="4" width="10.21875" bestFit="1" customWidth="1"/>
    <col min="5" max="5" width="29.5546875" bestFit="1" customWidth="1"/>
    <col min="6" max="6" width="13.33203125" bestFit="1" customWidth="1"/>
    <col min="7" max="7" width="15.33203125" bestFit="1" customWidth="1"/>
    <col min="8" max="8" width="14.33203125" bestFit="1" customWidth="1"/>
    <col min="9" max="9" width="31.88671875" bestFit="1" customWidth="1"/>
    <col min="10" max="10" width="17.77734375" bestFit="1" customWidth="1"/>
    <col min="11" max="11" width="11.6640625" bestFit="1" customWidth="1"/>
    <col min="12" max="12" width="13.21875" bestFit="1" customWidth="1"/>
    <col min="13" max="13" width="12.6640625" bestFit="1" customWidth="1"/>
    <col min="14" max="14" width="20.5546875" bestFit="1" customWidth="1"/>
    <col min="15" max="15" width="8.88671875" style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107</v>
      </c>
      <c r="L2" t="s">
        <v>23</v>
      </c>
      <c r="M2" t="s">
        <v>24</v>
      </c>
      <c r="N2">
        <f>G2/F2</f>
        <v>16</v>
      </c>
      <c r="O2" s="1">
        <f>J2/F2</f>
        <v>107.14285714285714</v>
      </c>
    </row>
    <row r="3" spans="1:15" x14ac:dyDescent="0.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18</v>
      </c>
      <c r="G3" t="s">
        <v>28</v>
      </c>
      <c r="H3" t="s">
        <v>20</v>
      </c>
      <c r="I3" t="s">
        <v>29</v>
      </c>
      <c r="J3" t="s">
        <v>30</v>
      </c>
      <c r="K3">
        <v>100</v>
      </c>
      <c r="L3" t="s">
        <v>23</v>
      </c>
      <c r="M3" t="s">
        <v>31</v>
      </c>
      <c r="N3">
        <f t="shared" ref="N3:N47" si="0">G3/F3</f>
        <v>10</v>
      </c>
      <c r="O3" s="1">
        <f t="shared" ref="O3:O47" si="1">J3/F3</f>
        <v>100</v>
      </c>
    </row>
    <row r="4" spans="1:15" x14ac:dyDescent="0.3">
      <c r="A4" t="s">
        <v>13</v>
      </c>
      <c r="B4" t="s">
        <v>14</v>
      </c>
      <c r="C4" t="s">
        <v>15</v>
      </c>
      <c r="D4" t="s">
        <v>32</v>
      </c>
      <c r="E4" t="s">
        <v>17</v>
      </c>
      <c r="F4" t="s">
        <v>18</v>
      </c>
      <c r="G4" t="s">
        <v>33</v>
      </c>
      <c r="H4" t="s">
        <v>20</v>
      </c>
      <c r="I4" t="s">
        <v>34</v>
      </c>
      <c r="J4" t="s">
        <v>35</v>
      </c>
      <c r="K4">
        <v>79</v>
      </c>
      <c r="L4" t="s">
        <v>23</v>
      </c>
      <c r="N4">
        <f t="shared" si="0"/>
        <v>4</v>
      </c>
      <c r="O4" s="1">
        <f t="shared" si="1"/>
        <v>78.571428571428569</v>
      </c>
    </row>
    <row r="5" spans="1:15" x14ac:dyDescent="0.3">
      <c r="A5" t="s">
        <v>25</v>
      </c>
      <c r="B5" t="s">
        <v>36</v>
      </c>
      <c r="C5" t="s">
        <v>37</v>
      </c>
      <c r="D5" t="s">
        <v>32</v>
      </c>
      <c r="E5" t="s">
        <v>17</v>
      </c>
      <c r="F5" t="s">
        <v>18</v>
      </c>
      <c r="G5" t="s">
        <v>38</v>
      </c>
      <c r="H5" t="s">
        <v>20</v>
      </c>
      <c r="I5" t="s">
        <v>39</v>
      </c>
      <c r="J5" t="s">
        <v>40</v>
      </c>
      <c r="K5">
        <v>64</v>
      </c>
      <c r="L5" t="s">
        <v>23</v>
      </c>
      <c r="M5" t="s">
        <v>41</v>
      </c>
      <c r="N5">
        <f t="shared" si="0"/>
        <v>2</v>
      </c>
      <c r="O5" s="1">
        <f t="shared" si="1"/>
        <v>64.285714285714292</v>
      </c>
    </row>
    <row r="6" spans="1:15" x14ac:dyDescent="0.3">
      <c r="A6" t="s">
        <v>42</v>
      </c>
      <c r="B6" t="s">
        <v>43</v>
      </c>
      <c r="C6" t="s">
        <v>44</v>
      </c>
      <c r="D6" t="s">
        <v>45</v>
      </c>
      <c r="E6" t="s">
        <v>17</v>
      </c>
      <c r="F6" t="s">
        <v>46</v>
      </c>
      <c r="G6" t="s">
        <v>47</v>
      </c>
      <c r="H6" t="s">
        <v>20</v>
      </c>
      <c r="I6" t="s">
        <v>48</v>
      </c>
      <c r="J6" t="s">
        <v>49</v>
      </c>
      <c r="K6">
        <v>20</v>
      </c>
      <c r="L6" t="s">
        <v>23</v>
      </c>
      <c r="M6" t="s">
        <v>50</v>
      </c>
      <c r="N6">
        <f t="shared" si="0"/>
        <v>4.5</v>
      </c>
      <c r="O6" s="1">
        <f t="shared" si="1"/>
        <v>20</v>
      </c>
    </row>
    <row r="7" spans="1:15" x14ac:dyDescent="0.3">
      <c r="A7" t="s">
        <v>51</v>
      </c>
      <c r="B7" t="s">
        <v>52</v>
      </c>
      <c r="C7" t="s">
        <v>53</v>
      </c>
      <c r="D7" t="s">
        <v>32</v>
      </c>
      <c r="E7" t="s">
        <v>17</v>
      </c>
      <c r="F7" t="s">
        <v>46</v>
      </c>
      <c r="G7" t="s">
        <v>54</v>
      </c>
      <c r="H7" t="s">
        <v>20</v>
      </c>
      <c r="I7" t="s">
        <v>21</v>
      </c>
      <c r="J7" t="s">
        <v>55</v>
      </c>
      <c r="K7">
        <v>190</v>
      </c>
      <c r="L7" t="s">
        <v>23</v>
      </c>
      <c r="M7" t="s">
        <v>56</v>
      </c>
      <c r="N7">
        <f t="shared" si="0"/>
        <v>4</v>
      </c>
      <c r="O7" s="1">
        <f t="shared" si="1"/>
        <v>190</v>
      </c>
    </row>
    <row r="8" spans="1:15" x14ac:dyDescent="0.3">
      <c r="A8" t="s">
        <v>25</v>
      </c>
      <c r="B8" t="s">
        <v>57</v>
      </c>
      <c r="C8" t="s">
        <v>58</v>
      </c>
      <c r="D8" t="s">
        <v>59</v>
      </c>
      <c r="E8" t="s">
        <v>17</v>
      </c>
      <c r="F8" t="s">
        <v>46</v>
      </c>
      <c r="G8" t="s">
        <v>60</v>
      </c>
      <c r="H8" t="s">
        <v>20</v>
      </c>
      <c r="I8" t="s">
        <v>29</v>
      </c>
      <c r="J8" t="s">
        <v>61</v>
      </c>
      <c r="K8">
        <v>733</v>
      </c>
      <c r="L8" t="s">
        <v>62</v>
      </c>
      <c r="M8" t="s">
        <v>63</v>
      </c>
      <c r="N8">
        <f t="shared" si="0"/>
        <v>3</v>
      </c>
      <c r="O8" s="1">
        <f t="shared" si="1"/>
        <v>220</v>
      </c>
    </row>
    <row r="9" spans="1:15" x14ac:dyDescent="0.3">
      <c r="A9" t="s">
        <v>64</v>
      </c>
      <c r="B9" t="s">
        <v>65</v>
      </c>
      <c r="C9" t="s">
        <v>66</v>
      </c>
      <c r="D9" t="s">
        <v>67</v>
      </c>
      <c r="E9" t="s">
        <v>17</v>
      </c>
      <c r="F9" t="s">
        <v>46</v>
      </c>
      <c r="G9" t="s">
        <v>60</v>
      </c>
      <c r="H9" t="s">
        <v>20</v>
      </c>
      <c r="I9" t="s">
        <v>68</v>
      </c>
      <c r="J9" t="s">
        <v>22</v>
      </c>
      <c r="K9">
        <v>150</v>
      </c>
      <c r="L9" t="s">
        <v>23</v>
      </c>
      <c r="M9" t="s">
        <v>69</v>
      </c>
      <c r="N9">
        <f t="shared" si="0"/>
        <v>3</v>
      </c>
      <c r="O9" s="1">
        <f t="shared" si="1"/>
        <v>150</v>
      </c>
    </row>
    <row r="10" spans="1:15" x14ac:dyDescent="0.3">
      <c r="A10" t="s">
        <v>70</v>
      </c>
      <c r="B10" t="s">
        <v>71</v>
      </c>
      <c r="C10" t="s">
        <v>72</v>
      </c>
      <c r="D10" t="s">
        <v>73</v>
      </c>
      <c r="E10" t="s">
        <v>17</v>
      </c>
      <c r="F10" t="s">
        <v>46</v>
      </c>
      <c r="G10" t="s">
        <v>74</v>
      </c>
      <c r="H10" t="s">
        <v>20</v>
      </c>
      <c r="I10" t="s">
        <v>75</v>
      </c>
      <c r="J10" t="s">
        <v>76</v>
      </c>
      <c r="K10">
        <v>5</v>
      </c>
      <c r="L10" t="s">
        <v>23</v>
      </c>
      <c r="M10" t="s">
        <v>77</v>
      </c>
      <c r="N10">
        <f t="shared" si="0"/>
        <v>13.6</v>
      </c>
      <c r="O10" s="1">
        <f t="shared" si="1"/>
        <v>5</v>
      </c>
    </row>
    <row r="11" spans="1:15" x14ac:dyDescent="0.3">
      <c r="A11" t="s">
        <v>78</v>
      </c>
      <c r="B11" t="s">
        <v>79</v>
      </c>
      <c r="C11" t="s">
        <v>80</v>
      </c>
      <c r="D11" t="s">
        <v>81</v>
      </c>
      <c r="E11" t="s">
        <v>17</v>
      </c>
      <c r="F11" t="s">
        <v>46</v>
      </c>
      <c r="G11" t="s">
        <v>82</v>
      </c>
      <c r="H11" t="s">
        <v>20</v>
      </c>
      <c r="I11" t="s">
        <v>83</v>
      </c>
      <c r="J11" t="s">
        <v>84</v>
      </c>
      <c r="K11">
        <v>120</v>
      </c>
      <c r="L11" t="s">
        <v>23</v>
      </c>
      <c r="M11" t="s">
        <v>85</v>
      </c>
      <c r="N11">
        <f t="shared" si="0"/>
        <v>10</v>
      </c>
      <c r="O11" s="1">
        <f t="shared" si="1"/>
        <v>120</v>
      </c>
    </row>
    <row r="12" spans="1:15" x14ac:dyDescent="0.3">
      <c r="A12" t="s">
        <v>78</v>
      </c>
      <c r="B12" t="s">
        <v>79</v>
      </c>
      <c r="C12" t="s">
        <v>80</v>
      </c>
      <c r="D12" t="s">
        <v>81</v>
      </c>
      <c r="E12" t="s">
        <v>17</v>
      </c>
      <c r="F12" t="s">
        <v>46</v>
      </c>
      <c r="G12" t="s">
        <v>86</v>
      </c>
      <c r="H12" t="s">
        <v>20</v>
      </c>
      <c r="I12" t="s">
        <v>48</v>
      </c>
      <c r="J12" t="s">
        <v>84</v>
      </c>
      <c r="K12">
        <v>120</v>
      </c>
      <c r="L12" t="s">
        <v>23</v>
      </c>
      <c r="M12" t="s">
        <v>87</v>
      </c>
      <c r="N12">
        <f t="shared" si="0"/>
        <v>0.5</v>
      </c>
      <c r="O12" s="1">
        <f t="shared" si="1"/>
        <v>120</v>
      </c>
    </row>
    <row r="13" spans="1:15" x14ac:dyDescent="0.3">
      <c r="A13" t="s">
        <v>88</v>
      </c>
      <c r="B13" t="s">
        <v>71</v>
      </c>
      <c r="C13" t="s">
        <v>89</v>
      </c>
      <c r="D13" t="s">
        <v>32</v>
      </c>
      <c r="E13" t="s">
        <v>17</v>
      </c>
      <c r="F13" t="s">
        <v>46</v>
      </c>
      <c r="G13" t="s">
        <v>54</v>
      </c>
      <c r="H13" t="s">
        <v>20</v>
      </c>
      <c r="I13" t="s">
        <v>90</v>
      </c>
      <c r="J13" t="s">
        <v>91</v>
      </c>
      <c r="K13">
        <v>50</v>
      </c>
      <c r="L13" t="s">
        <v>23</v>
      </c>
      <c r="M13" t="s">
        <v>92</v>
      </c>
      <c r="N13">
        <f t="shared" si="0"/>
        <v>4</v>
      </c>
      <c r="O13" s="1">
        <f t="shared" si="1"/>
        <v>50</v>
      </c>
    </row>
    <row r="14" spans="1:15" x14ac:dyDescent="0.3">
      <c r="A14" t="s">
        <v>88</v>
      </c>
      <c r="B14" t="s">
        <v>93</v>
      </c>
      <c r="C14" t="s">
        <v>94</v>
      </c>
      <c r="D14" t="s">
        <v>32</v>
      </c>
      <c r="E14" t="s">
        <v>17</v>
      </c>
      <c r="G14" t="s">
        <v>95</v>
      </c>
      <c r="H14" t="s">
        <v>20</v>
      </c>
      <c r="I14" t="s">
        <v>96</v>
      </c>
      <c r="J14" t="s">
        <v>91</v>
      </c>
      <c r="K14">
        <v>50</v>
      </c>
      <c r="L14" t="s">
        <v>23</v>
      </c>
      <c r="M14" t="s">
        <v>97</v>
      </c>
    </row>
    <row r="15" spans="1:15" x14ac:dyDescent="0.3">
      <c r="A15" t="s">
        <v>88</v>
      </c>
      <c r="B15" t="s">
        <v>98</v>
      </c>
      <c r="C15" t="s">
        <v>99</v>
      </c>
      <c r="D15" t="s">
        <v>32</v>
      </c>
      <c r="E15" t="s">
        <v>17</v>
      </c>
      <c r="G15" t="s">
        <v>95</v>
      </c>
      <c r="H15" t="s">
        <v>20</v>
      </c>
      <c r="I15" t="s">
        <v>100</v>
      </c>
      <c r="J15" t="s">
        <v>91</v>
      </c>
      <c r="K15">
        <v>50</v>
      </c>
      <c r="L15" t="s">
        <v>23</v>
      </c>
      <c r="M15" t="s">
        <v>101</v>
      </c>
    </row>
    <row r="16" spans="1:15" x14ac:dyDescent="0.3">
      <c r="A16" t="s">
        <v>102</v>
      </c>
      <c r="B16" t="s">
        <v>98</v>
      </c>
      <c r="C16" t="s">
        <v>103</v>
      </c>
      <c r="D16" t="s">
        <v>104</v>
      </c>
      <c r="E16" t="s">
        <v>17</v>
      </c>
      <c r="G16" t="s">
        <v>95</v>
      </c>
      <c r="H16" t="s">
        <v>20</v>
      </c>
      <c r="I16" t="s">
        <v>105</v>
      </c>
      <c r="J16" t="s">
        <v>106</v>
      </c>
      <c r="K16">
        <v>30</v>
      </c>
      <c r="L16" t="s">
        <v>23</v>
      </c>
      <c r="M16" t="s">
        <v>107</v>
      </c>
    </row>
    <row r="17" spans="1:15" x14ac:dyDescent="0.3">
      <c r="A17" t="s">
        <v>108</v>
      </c>
      <c r="B17" t="s">
        <v>109</v>
      </c>
      <c r="C17" t="s">
        <v>110</v>
      </c>
      <c r="D17" t="s">
        <v>111</v>
      </c>
      <c r="E17" t="s">
        <v>17</v>
      </c>
      <c r="F17" t="s">
        <v>46</v>
      </c>
      <c r="G17" t="s">
        <v>112</v>
      </c>
      <c r="H17" t="s">
        <v>20</v>
      </c>
      <c r="I17" t="s">
        <v>113</v>
      </c>
      <c r="J17" t="s">
        <v>49</v>
      </c>
      <c r="K17">
        <v>20</v>
      </c>
      <c r="L17" t="s">
        <v>23</v>
      </c>
      <c r="M17" t="s">
        <v>114</v>
      </c>
      <c r="N17">
        <f t="shared" si="0"/>
        <v>51</v>
      </c>
      <c r="O17" s="1">
        <f t="shared" si="1"/>
        <v>20</v>
      </c>
    </row>
    <row r="18" spans="1:15" x14ac:dyDescent="0.3">
      <c r="A18" t="s">
        <v>108</v>
      </c>
      <c r="B18" t="s">
        <v>109</v>
      </c>
      <c r="C18" t="s">
        <v>110</v>
      </c>
      <c r="D18" t="s">
        <v>111</v>
      </c>
      <c r="E18" t="s">
        <v>17</v>
      </c>
      <c r="F18" t="s">
        <v>46</v>
      </c>
      <c r="G18" t="s">
        <v>115</v>
      </c>
      <c r="H18" t="s">
        <v>20</v>
      </c>
      <c r="I18" t="s">
        <v>34</v>
      </c>
      <c r="J18" t="s">
        <v>49</v>
      </c>
      <c r="K18">
        <v>20</v>
      </c>
      <c r="L18" t="s">
        <v>23</v>
      </c>
      <c r="M18" t="s">
        <v>116</v>
      </c>
      <c r="N18">
        <f t="shared" si="0"/>
        <v>18.5</v>
      </c>
      <c r="O18" s="1">
        <f t="shared" si="1"/>
        <v>20</v>
      </c>
    </row>
    <row r="19" spans="1:15" x14ac:dyDescent="0.3">
      <c r="A19" t="s">
        <v>117</v>
      </c>
      <c r="B19" t="s">
        <v>109</v>
      </c>
      <c r="C19" t="s">
        <v>118</v>
      </c>
      <c r="D19" t="s">
        <v>119</v>
      </c>
      <c r="E19" t="s">
        <v>17</v>
      </c>
      <c r="F19" t="s">
        <v>46</v>
      </c>
      <c r="G19" t="s">
        <v>120</v>
      </c>
      <c r="H19" t="s">
        <v>20</v>
      </c>
      <c r="I19" t="s">
        <v>39</v>
      </c>
      <c r="J19" t="s">
        <v>121</v>
      </c>
      <c r="K19">
        <v>25</v>
      </c>
      <c r="L19" t="s">
        <v>23</v>
      </c>
      <c r="M19" t="s">
        <v>122</v>
      </c>
      <c r="N19">
        <f t="shared" si="0"/>
        <v>123.4</v>
      </c>
      <c r="O19" s="1">
        <f t="shared" si="1"/>
        <v>25</v>
      </c>
    </row>
    <row r="20" spans="1:15" x14ac:dyDescent="0.3">
      <c r="A20" t="s">
        <v>123</v>
      </c>
      <c r="B20" t="s">
        <v>124</v>
      </c>
      <c r="C20" t="s">
        <v>125</v>
      </c>
      <c r="D20" t="s">
        <v>111</v>
      </c>
      <c r="E20" t="s">
        <v>17</v>
      </c>
      <c r="F20" t="s">
        <v>46</v>
      </c>
      <c r="G20" t="s">
        <v>126</v>
      </c>
      <c r="H20" t="s">
        <v>20</v>
      </c>
      <c r="I20" t="s">
        <v>127</v>
      </c>
      <c r="J20" t="s">
        <v>128</v>
      </c>
      <c r="K20">
        <v>230</v>
      </c>
      <c r="L20" t="s">
        <v>23</v>
      </c>
      <c r="M20" t="s">
        <v>129</v>
      </c>
      <c r="N20">
        <f t="shared" si="0"/>
        <v>2</v>
      </c>
      <c r="O20" s="1">
        <f t="shared" si="1"/>
        <v>230</v>
      </c>
    </row>
    <row r="21" spans="1:15" x14ac:dyDescent="0.3">
      <c r="A21" t="s">
        <v>123</v>
      </c>
      <c r="B21" t="s">
        <v>130</v>
      </c>
      <c r="C21" t="s">
        <v>131</v>
      </c>
      <c r="D21" t="s">
        <v>111</v>
      </c>
      <c r="E21" t="s">
        <v>17</v>
      </c>
      <c r="F21" t="s">
        <v>46</v>
      </c>
      <c r="G21" t="s">
        <v>132</v>
      </c>
      <c r="H21" t="s">
        <v>20</v>
      </c>
      <c r="I21" t="s">
        <v>133</v>
      </c>
      <c r="J21" t="s">
        <v>128</v>
      </c>
      <c r="K21">
        <v>230</v>
      </c>
      <c r="L21" t="s">
        <v>62</v>
      </c>
      <c r="M21" t="s">
        <v>134</v>
      </c>
      <c r="N21">
        <f t="shared" si="0"/>
        <v>6</v>
      </c>
      <c r="O21" s="1">
        <f t="shared" si="1"/>
        <v>230</v>
      </c>
    </row>
    <row r="22" spans="1:15" x14ac:dyDescent="0.3">
      <c r="A22" t="s">
        <v>135</v>
      </c>
      <c r="B22" t="s">
        <v>136</v>
      </c>
      <c r="C22" t="s">
        <v>15</v>
      </c>
      <c r="D22" t="s">
        <v>137</v>
      </c>
      <c r="E22" t="s">
        <v>17</v>
      </c>
      <c r="F22" t="s">
        <v>18</v>
      </c>
      <c r="G22" t="s">
        <v>138</v>
      </c>
      <c r="H22" t="s">
        <v>20</v>
      </c>
      <c r="I22" t="s">
        <v>113</v>
      </c>
      <c r="J22" t="s">
        <v>139</v>
      </c>
      <c r="K22">
        <v>68</v>
      </c>
      <c r="L22" t="s">
        <v>23</v>
      </c>
      <c r="M22" t="s">
        <v>140</v>
      </c>
      <c r="N22">
        <f t="shared" si="0"/>
        <v>14</v>
      </c>
      <c r="O22" s="1">
        <f t="shared" si="1"/>
        <v>67.857142857142861</v>
      </c>
    </row>
    <row r="23" spans="1:15" x14ac:dyDescent="0.3">
      <c r="A23" t="s">
        <v>135</v>
      </c>
      <c r="B23" t="s">
        <v>136</v>
      </c>
      <c r="C23" t="s">
        <v>15</v>
      </c>
      <c r="D23" t="s">
        <v>141</v>
      </c>
      <c r="E23" t="s">
        <v>17</v>
      </c>
      <c r="F23" t="s">
        <v>18</v>
      </c>
      <c r="G23" t="s">
        <v>38</v>
      </c>
      <c r="H23" t="s">
        <v>20</v>
      </c>
      <c r="I23" t="s">
        <v>142</v>
      </c>
      <c r="J23" t="s">
        <v>143</v>
      </c>
      <c r="K23">
        <v>57</v>
      </c>
      <c r="L23" t="s">
        <v>23</v>
      </c>
      <c r="M23" t="s">
        <v>144</v>
      </c>
      <c r="N23">
        <f t="shared" si="0"/>
        <v>2</v>
      </c>
      <c r="O23" s="1">
        <f t="shared" si="1"/>
        <v>57.142857142857146</v>
      </c>
    </row>
    <row r="24" spans="1:15" x14ac:dyDescent="0.3">
      <c r="A24" t="s">
        <v>135</v>
      </c>
      <c r="B24" t="s">
        <v>145</v>
      </c>
      <c r="C24" t="s">
        <v>146</v>
      </c>
      <c r="D24" t="s">
        <v>141</v>
      </c>
      <c r="E24" t="s">
        <v>17</v>
      </c>
      <c r="F24" t="s">
        <v>18</v>
      </c>
      <c r="G24" t="s">
        <v>38</v>
      </c>
      <c r="H24" t="s">
        <v>20</v>
      </c>
      <c r="I24" t="s">
        <v>147</v>
      </c>
      <c r="J24" t="s">
        <v>143</v>
      </c>
      <c r="K24">
        <v>57</v>
      </c>
      <c r="L24" t="s">
        <v>23</v>
      </c>
      <c r="M24" t="s">
        <v>148</v>
      </c>
      <c r="N24">
        <f t="shared" si="0"/>
        <v>2</v>
      </c>
      <c r="O24" s="1">
        <f t="shared" si="1"/>
        <v>57.142857142857146</v>
      </c>
    </row>
    <row r="25" spans="1:15" x14ac:dyDescent="0.3">
      <c r="A25" t="s">
        <v>135</v>
      </c>
      <c r="B25" t="s">
        <v>124</v>
      </c>
      <c r="C25" t="s">
        <v>125</v>
      </c>
      <c r="D25" t="s">
        <v>141</v>
      </c>
      <c r="E25" t="s">
        <v>17</v>
      </c>
      <c r="F25" t="s">
        <v>18</v>
      </c>
      <c r="G25" t="s">
        <v>149</v>
      </c>
      <c r="H25" t="s">
        <v>20</v>
      </c>
      <c r="I25" t="s">
        <v>150</v>
      </c>
      <c r="J25" t="s">
        <v>143</v>
      </c>
      <c r="K25">
        <v>57</v>
      </c>
      <c r="L25" t="s">
        <v>23</v>
      </c>
      <c r="M25" t="s">
        <v>151</v>
      </c>
      <c r="N25">
        <f t="shared" si="0"/>
        <v>5</v>
      </c>
      <c r="O25" s="1">
        <f t="shared" si="1"/>
        <v>57.142857142857146</v>
      </c>
    </row>
    <row r="26" spans="1:15" x14ac:dyDescent="0.3">
      <c r="A26" t="s">
        <v>152</v>
      </c>
      <c r="B26" t="s">
        <v>153</v>
      </c>
      <c r="C26" t="s">
        <v>125</v>
      </c>
      <c r="D26" t="s">
        <v>154</v>
      </c>
      <c r="E26" t="s">
        <v>17</v>
      </c>
      <c r="F26" t="s">
        <v>46</v>
      </c>
      <c r="G26" t="s">
        <v>76</v>
      </c>
      <c r="H26" t="s">
        <v>20</v>
      </c>
      <c r="I26" t="s">
        <v>96</v>
      </c>
      <c r="J26" t="s">
        <v>95</v>
      </c>
      <c r="K26">
        <v>100</v>
      </c>
      <c r="L26" t="s">
        <v>23</v>
      </c>
      <c r="M26" t="s">
        <v>155</v>
      </c>
      <c r="N26">
        <f t="shared" si="0"/>
        <v>5</v>
      </c>
      <c r="O26" s="1">
        <f t="shared" si="1"/>
        <v>100</v>
      </c>
    </row>
    <row r="27" spans="1:15" x14ac:dyDescent="0.3">
      <c r="A27" t="s">
        <v>152</v>
      </c>
      <c r="B27" t="s">
        <v>153</v>
      </c>
      <c r="C27" t="s">
        <v>125</v>
      </c>
      <c r="D27" t="s">
        <v>156</v>
      </c>
      <c r="E27" t="s">
        <v>17</v>
      </c>
      <c r="F27" t="s">
        <v>46</v>
      </c>
      <c r="G27" t="s">
        <v>132</v>
      </c>
      <c r="H27" t="s">
        <v>20</v>
      </c>
      <c r="I27" t="s">
        <v>96</v>
      </c>
      <c r="J27" t="s">
        <v>40</v>
      </c>
      <c r="K27">
        <v>90</v>
      </c>
      <c r="L27" t="s">
        <v>23</v>
      </c>
      <c r="M27" t="s">
        <v>157</v>
      </c>
      <c r="N27">
        <f t="shared" si="0"/>
        <v>6</v>
      </c>
      <c r="O27" s="1">
        <f t="shared" si="1"/>
        <v>90</v>
      </c>
    </row>
    <row r="28" spans="1:15" x14ac:dyDescent="0.3">
      <c r="A28" t="s">
        <v>158</v>
      </c>
      <c r="B28" t="s">
        <v>159</v>
      </c>
      <c r="C28" t="s">
        <v>160</v>
      </c>
      <c r="D28" t="s">
        <v>161</v>
      </c>
      <c r="E28" t="s">
        <v>17</v>
      </c>
      <c r="F28" t="s">
        <v>46</v>
      </c>
      <c r="G28" t="s">
        <v>126</v>
      </c>
      <c r="H28" t="s">
        <v>20</v>
      </c>
      <c r="I28" t="s">
        <v>162</v>
      </c>
      <c r="J28" t="s">
        <v>163</v>
      </c>
      <c r="K28">
        <v>130</v>
      </c>
      <c r="L28" t="s">
        <v>23</v>
      </c>
      <c r="M28" t="s">
        <v>164</v>
      </c>
      <c r="N28">
        <f t="shared" si="0"/>
        <v>2</v>
      </c>
      <c r="O28" s="1">
        <f t="shared" si="1"/>
        <v>130</v>
      </c>
    </row>
    <row r="29" spans="1:15" x14ac:dyDescent="0.3">
      <c r="A29" t="s">
        <v>165</v>
      </c>
      <c r="B29" t="s">
        <v>166</v>
      </c>
      <c r="C29" t="s">
        <v>167</v>
      </c>
      <c r="D29" t="s">
        <v>59</v>
      </c>
      <c r="E29" t="s">
        <v>17</v>
      </c>
      <c r="F29" t="s">
        <v>18</v>
      </c>
      <c r="G29" t="s">
        <v>168</v>
      </c>
      <c r="H29" t="s">
        <v>20</v>
      </c>
      <c r="I29" t="s">
        <v>113</v>
      </c>
      <c r="J29" t="s">
        <v>128</v>
      </c>
      <c r="K29">
        <v>164</v>
      </c>
      <c r="L29" t="s">
        <v>23</v>
      </c>
      <c r="M29" t="s">
        <v>169</v>
      </c>
      <c r="N29">
        <f t="shared" si="0"/>
        <v>54</v>
      </c>
      <c r="O29" s="1">
        <f t="shared" si="1"/>
        <v>164.28571428571428</v>
      </c>
    </row>
    <row r="30" spans="1:15" x14ac:dyDescent="0.3">
      <c r="A30" t="s">
        <v>170</v>
      </c>
      <c r="B30" t="s">
        <v>171</v>
      </c>
      <c r="C30" t="s">
        <v>172</v>
      </c>
      <c r="D30" t="s">
        <v>154</v>
      </c>
      <c r="E30" t="s">
        <v>17</v>
      </c>
      <c r="F30" t="s">
        <v>18</v>
      </c>
      <c r="G30" t="s">
        <v>47</v>
      </c>
      <c r="H30" t="s">
        <v>20</v>
      </c>
      <c r="I30" t="s">
        <v>133</v>
      </c>
      <c r="J30" t="s">
        <v>173</v>
      </c>
      <c r="K30">
        <v>129</v>
      </c>
      <c r="L30" t="s">
        <v>23</v>
      </c>
      <c r="M30" t="s">
        <v>174</v>
      </c>
      <c r="N30">
        <f t="shared" si="0"/>
        <v>3.2142857142857144</v>
      </c>
      <c r="O30" s="1">
        <f t="shared" si="1"/>
        <v>128.57142857142858</v>
      </c>
    </row>
    <row r="31" spans="1:15" x14ac:dyDescent="0.3">
      <c r="A31" t="s">
        <v>175</v>
      </c>
      <c r="B31" t="s">
        <v>153</v>
      </c>
      <c r="C31" t="s">
        <v>125</v>
      </c>
      <c r="D31" t="s">
        <v>154</v>
      </c>
      <c r="E31" t="s">
        <v>17</v>
      </c>
      <c r="F31" t="s">
        <v>18</v>
      </c>
      <c r="G31" t="s">
        <v>33</v>
      </c>
      <c r="H31" t="s">
        <v>20</v>
      </c>
      <c r="I31" t="s">
        <v>96</v>
      </c>
      <c r="J31" t="s">
        <v>173</v>
      </c>
      <c r="K31">
        <v>129</v>
      </c>
      <c r="L31" t="s">
        <v>23</v>
      </c>
      <c r="M31" t="s">
        <v>176</v>
      </c>
      <c r="N31">
        <f t="shared" si="0"/>
        <v>4</v>
      </c>
      <c r="O31" s="1">
        <f t="shared" si="1"/>
        <v>128.57142857142858</v>
      </c>
    </row>
    <row r="32" spans="1:15" x14ac:dyDescent="0.3">
      <c r="A32" t="s">
        <v>175</v>
      </c>
      <c r="B32" t="s">
        <v>177</v>
      </c>
      <c r="C32" t="s">
        <v>178</v>
      </c>
      <c r="D32" t="s">
        <v>154</v>
      </c>
      <c r="E32" t="s">
        <v>17</v>
      </c>
      <c r="F32" t="s">
        <v>18</v>
      </c>
      <c r="G32" t="s">
        <v>179</v>
      </c>
      <c r="H32" t="s">
        <v>20</v>
      </c>
      <c r="I32" t="s">
        <v>180</v>
      </c>
      <c r="J32" t="s">
        <v>173</v>
      </c>
      <c r="K32">
        <v>129</v>
      </c>
      <c r="L32" t="s">
        <v>181</v>
      </c>
      <c r="M32" t="s">
        <v>182</v>
      </c>
      <c r="N32">
        <f t="shared" si="0"/>
        <v>8</v>
      </c>
      <c r="O32" s="1">
        <f t="shared" si="1"/>
        <v>128.57142857142858</v>
      </c>
    </row>
    <row r="33" spans="1:15" x14ac:dyDescent="0.3">
      <c r="A33" t="s">
        <v>183</v>
      </c>
      <c r="B33" t="s">
        <v>57</v>
      </c>
      <c r="C33" t="s">
        <v>184</v>
      </c>
      <c r="D33" t="s">
        <v>59</v>
      </c>
      <c r="E33" t="s">
        <v>17</v>
      </c>
      <c r="F33" t="s">
        <v>46</v>
      </c>
      <c r="G33" t="s">
        <v>185</v>
      </c>
      <c r="H33" t="s">
        <v>20</v>
      </c>
      <c r="I33" t="s">
        <v>113</v>
      </c>
      <c r="J33" t="s">
        <v>186</v>
      </c>
      <c r="K33">
        <v>300</v>
      </c>
      <c r="L33" t="s">
        <v>23</v>
      </c>
      <c r="M33" t="s">
        <v>187</v>
      </c>
      <c r="N33">
        <f t="shared" si="0"/>
        <v>21</v>
      </c>
      <c r="O33" s="1">
        <f t="shared" si="1"/>
        <v>300</v>
      </c>
    </row>
    <row r="34" spans="1:15" x14ac:dyDescent="0.3">
      <c r="A34" t="s">
        <v>183</v>
      </c>
      <c r="B34" t="s">
        <v>57</v>
      </c>
      <c r="C34" t="s">
        <v>188</v>
      </c>
      <c r="D34" t="s">
        <v>16</v>
      </c>
      <c r="E34" t="s">
        <v>17</v>
      </c>
      <c r="F34" t="s">
        <v>46</v>
      </c>
      <c r="G34" t="s">
        <v>60</v>
      </c>
      <c r="H34" t="s">
        <v>20</v>
      </c>
      <c r="I34" t="s">
        <v>113</v>
      </c>
      <c r="J34" t="s">
        <v>189</v>
      </c>
      <c r="K34">
        <v>210</v>
      </c>
      <c r="L34" t="s">
        <v>23</v>
      </c>
      <c r="M34" t="s">
        <v>190</v>
      </c>
      <c r="N34">
        <f t="shared" si="0"/>
        <v>3</v>
      </c>
      <c r="O34" s="1">
        <f t="shared" si="1"/>
        <v>210</v>
      </c>
    </row>
    <row r="35" spans="1:15" x14ac:dyDescent="0.3">
      <c r="A35" t="s">
        <v>191</v>
      </c>
      <c r="B35" t="s">
        <v>192</v>
      </c>
      <c r="C35" t="s">
        <v>191</v>
      </c>
      <c r="D35" t="s">
        <v>193</v>
      </c>
      <c r="E35" t="s">
        <v>17</v>
      </c>
      <c r="F35" t="s">
        <v>18</v>
      </c>
      <c r="G35" t="s">
        <v>194</v>
      </c>
      <c r="H35" t="s">
        <v>20</v>
      </c>
      <c r="I35" t="s">
        <v>105</v>
      </c>
      <c r="J35" t="s">
        <v>84</v>
      </c>
      <c r="K35">
        <v>86</v>
      </c>
      <c r="L35" t="s">
        <v>23</v>
      </c>
      <c r="M35" t="s">
        <v>195</v>
      </c>
      <c r="N35">
        <f t="shared" si="0"/>
        <v>12</v>
      </c>
      <c r="O35" s="1">
        <f t="shared" si="1"/>
        <v>85.714285714285708</v>
      </c>
    </row>
    <row r="36" spans="1:15" x14ac:dyDescent="0.3">
      <c r="A36" t="s">
        <v>196</v>
      </c>
      <c r="B36" t="s">
        <v>197</v>
      </c>
      <c r="C36" t="s">
        <v>198</v>
      </c>
      <c r="D36" t="s">
        <v>141</v>
      </c>
      <c r="E36" t="s">
        <v>17</v>
      </c>
      <c r="F36" t="s">
        <v>18</v>
      </c>
      <c r="G36" t="s">
        <v>199</v>
      </c>
      <c r="H36" t="s">
        <v>20</v>
      </c>
      <c r="I36" t="s">
        <v>200</v>
      </c>
      <c r="J36" t="s">
        <v>201</v>
      </c>
      <c r="K36">
        <v>50</v>
      </c>
      <c r="L36" t="s">
        <v>23</v>
      </c>
      <c r="M36" t="s">
        <v>202</v>
      </c>
      <c r="N36">
        <f t="shared" si="0"/>
        <v>28</v>
      </c>
      <c r="O36" s="1">
        <f t="shared" si="1"/>
        <v>50</v>
      </c>
    </row>
    <row r="37" spans="1:15" x14ac:dyDescent="0.3">
      <c r="A37" t="s">
        <v>196</v>
      </c>
      <c r="B37" t="s">
        <v>153</v>
      </c>
      <c r="C37" t="s">
        <v>125</v>
      </c>
      <c r="D37" t="s">
        <v>141</v>
      </c>
      <c r="E37" t="s">
        <v>17</v>
      </c>
      <c r="F37" t="s">
        <v>18</v>
      </c>
      <c r="G37" t="s">
        <v>33</v>
      </c>
      <c r="H37" t="s">
        <v>20</v>
      </c>
      <c r="I37" t="s">
        <v>29</v>
      </c>
      <c r="J37" t="s">
        <v>201</v>
      </c>
      <c r="K37">
        <v>50</v>
      </c>
      <c r="L37" t="s">
        <v>23</v>
      </c>
      <c r="M37" t="s">
        <v>203</v>
      </c>
      <c r="N37">
        <f t="shared" si="0"/>
        <v>4</v>
      </c>
      <c r="O37" s="1">
        <f t="shared" si="1"/>
        <v>50</v>
      </c>
    </row>
    <row r="38" spans="1:15" x14ac:dyDescent="0.3">
      <c r="A38" t="s">
        <v>196</v>
      </c>
      <c r="B38" t="s">
        <v>153</v>
      </c>
      <c r="C38" t="s">
        <v>125</v>
      </c>
      <c r="D38" t="s">
        <v>119</v>
      </c>
      <c r="E38" t="s">
        <v>17</v>
      </c>
      <c r="F38" t="s">
        <v>18</v>
      </c>
      <c r="G38" t="s">
        <v>204</v>
      </c>
      <c r="H38" t="s">
        <v>20</v>
      </c>
      <c r="I38" t="s">
        <v>68</v>
      </c>
      <c r="J38" t="s">
        <v>205</v>
      </c>
      <c r="K38">
        <v>39</v>
      </c>
      <c r="L38" t="s">
        <v>23</v>
      </c>
      <c r="M38" t="s">
        <v>206</v>
      </c>
      <c r="N38">
        <f t="shared" si="0"/>
        <v>17</v>
      </c>
      <c r="O38" s="1">
        <f t="shared" si="1"/>
        <v>39.285714285714285</v>
      </c>
    </row>
    <row r="39" spans="1:15" x14ac:dyDescent="0.3">
      <c r="A39" t="s">
        <v>196</v>
      </c>
      <c r="B39" t="s">
        <v>153</v>
      </c>
      <c r="C39" t="s">
        <v>125</v>
      </c>
      <c r="D39" t="s">
        <v>137</v>
      </c>
      <c r="E39" t="s">
        <v>17</v>
      </c>
      <c r="F39" t="s">
        <v>18</v>
      </c>
      <c r="G39" t="s">
        <v>207</v>
      </c>
      <c r="H39" t="s">
        <v>20</v>
      </c>
      <c r="I39" t="s">
        <v>208</v>
      </c>
      <c r="J39" t="s">
        <v>95</v>
      </c>
      <c r="K39">
        <v>71</v>
      </c>
      <c r="L39" t="s">
        <v>23</v>
      </c>
      <c r="M39" t="s">
        <v>209</v>
      </c>
      <c r="N39">
        <f t="shared" si="0"/>
        <v>2.5</v>
      </c>
      <c r="O39" s="1">
        <f t="shared" si="1"/>
        <v>71.428571428571431</v>
      </c>
    </row>
    <row r="40" spans="1:15" x14ac:dyDescent="0.3">
      <c r="A40" t="s">
        <v>210</v>
      </c>
      <c r="B40" t="s">
        <v>211</v>
      </c>
      <c r="C40" t="s">
        <v>212</v>
      </c>
      <c r="D40" t="s">
        <v>213</v>
      </c>
      <c r="E40" t="s">
        <v>17</v>
      </c>
      <c r="F40" t="s">
        <v>46</v>
      </c>
      <c r="G40" t="s">
        <v>82</v>
      </c>
      <c r="H40" t="s">
        <v>20</v>
      </c>
      <c r="I40" t="s">
        <v>147</v>
      </c>
      <c r="J40" t="s">
        <v>91</v>
      </c>
      <c r="K40">
        <v>50</v>
      </c>
      <c r="L40" t="s">
        <v>23</v>
      </c>
      <c r="M40" t="s">
        <v>214</v>
      </c>
      <c r="N40">
        <f t="shared" si="0"/>
        <v>10</v>
      </c>
      <c r="O40" s="1">
        <f t="shared" si="1"/>
        <v>50</v>
      </c>
    </row>
    <row r="41" spans="1:15" x14ac:dyDescent="0.3">
      <c r="A41" t="s">
        <v>210</v>
      </c>
      <c r="B41" t="s">
        <v>215</v>
      </c>
      <c r="C41" t="s">
        <v>216</v>
      </c>
      <c r="D41" t="s">
        <v>213</v>
      </c>
      <c r="E41" t="s">
        <v>17</v>
      </c>
      <c r="F41" t="s">
        <v>46</v>
      </c>
      <c r="G41" t="s">
        <v>132</v>
      </c>
      <c r="H41" t="s">
        <v>20</v>
      </c>
      <c r="I41" t="s">
        <v>21</v>
      </c>
      <c r="J41" t="s">
        <v>91</v>
      </c>
      <c r="K41">
        <v>50</v>
      </c>
      <c r="L41" t="s">
        <v>23</v>
      </c>
      <c r="M41" t="s">
        <v>217</v>
      </c>
      <c r="N41">
        <f t="shared" si="0"/>
        <v>6</v>
      </c>
      <c r="O41" s="1">
        <f t="shared" si="1"/>
        <v>50</v>
      </c>
    </row>
    <row r="42" spans="1:15" x14ac:dyDescent="0.3">
      <c r="A42" t="s">
        <v>210</v>
      </c>
      <c r="B42" t="s">
        <v>218</v>
      </c>
      <c r="C42" t="s">
        <v>219</v>
      </c>
      <c r="D42" t="s">
        <v>213</v>
      </c>
      <c r="E42" t="s">
        <v>17</v>
      </c>
      <c r="F42" t="s">
        <v>46</v>
      </c>
      <c r="G42" t="s">
        <v>82</v>
      </c>
      <c r="H42" t="s">
        <v>20</v>
      </c>
      <c r="I42" t="s">
        <v>208</v>
      </c>
      <c r="J42" t="s">
        <v>91</v>
      </c>
      <c r="K42">
        <v>50</v>
      </c>
      <c r="L42" t="s">
        <v>23</v>
      </c>
      <c r="M42" t="s">
        <v>220</v>
      </c>
      <c r="N42">
        <f t="shared" si="0"/>
        <v>10</v>
      </c>
      <c r="O42" s="1">
        <f t="shared" si="1"/>
        <v>50</v>
      </c>
    </row>
    <row r="43" spans="1:15" x14ac:dyDescent="0.3">
      <c r="A43" t="s">
        <v>221</v>
      </c>
      <c r="B43" t="s">
        <v>222</v>
      </c>
      <c r="C43" t="s">
        <v>223</v>
      </c>
      <c r="D43" t="s">
        <v>156</v>
      </c>
      <c r="E43" t="s">
        <v>17</v>
      </c>
      <c r="F43" t="s">
        <v>46</v>
      </c>
      <c r="G43" t="s">
        <v>224</v>
      </c>
      <c r="H43" t="s">
        <v>20</v>
      </c>
      <c r="I43" t="s">
        <v>147</v>
      </c>
      <c r="J43" t="s">
        <v>225</v>
      </c>
      <c r="K43">
        <v>245</v>
      </c>
      <c r="L43" t="s">
        <v>23</v>
      </c>
      <c r="M43" t="s">
        <v>226</v>
      </c>
      <c r="N43">
        <f t="shared" si="0"/>
        <v>9</v>
      </c>
      <c r="O43" s="1">
        <f t="shared" si="1"/>
        <v>245</v>
      </c>
    </row>
    <row r="44" spans="1:15" x14ac:dyDescent="0.3">
      <c r="A44" t="s">
        <v>227</v>
      </c>
      <c r="B44" t="s">
        <v>228</v>
      </c>
      <c r="C44" t="s">
        <v>229</v>
      </c>
      <c r="D44" t="s">
        <v>32</v>
      </c>
      <c r="E44" t="s">
        <v>17</v>
      </c>
      <c r="F44" t="s">
        <v>46</v>
      </c>
      <c r="G44" t="s">
        <v>230</v>
      </c>
      <c r="H44" t="s">
        <v>20</v>
      </c>
      <c r="I44" t="s">
        <v>34</v>
      </c>
      <c r="J44" t="s">
        <v>231</v>
      </c>
      <c r="K44">
        <v>320</v>
      </c>
      <c r="L44" t="s">
        <v>23</v>
      </c>
      <c r="M44" t="s">
        <v>232</v>
      </c>
      <c r="N44">
        <f t="shared" si="0"/>
        <v>27</v>
      </c>
      <c r="O44" s="1">
        <f t="shared" si="1"/>
        <v>320</v>
      </c>
    </row>
    <row r="45" spans="1:15" x14ac:dyDescent="0.3">
      <c r="A45" t="s">
        <v>233</v>
      </c>
      <c r="B45" t="s">
        <v>234</v>
      </c>
      <c r="C45" t="s">
        <v>235</v>
      </c>
      <c r="D45" t="s">
        <v>59</v>
      </c>
      <c r="E45" t="s">
        <v>17</v>
      </c>
      <c r="F45" t="s">
        <v>46</v>
      </c>
      <c r="G45" t="s">
        <v>236</v>
      </c>
      <c r="H45" t="s">
        <v>20</v>
      </c>
      <c r="I45" t="s">
        <v>147</v>
      </c>
      <c r="J45" t="s">
        <v>237</v>
      </c>
      <c r="K45">
        <v>8</v>
      </c>
      <c r="L45" t="s">
        <v>23</v>
      </c>
      <c r="M45" t="s">
        <v>238</v>
      </c>
      <c r="N45">
        <f t="shared" si="0"/>
        <v>1.2</v>
      </c>
      <c r="O45" s="1">
        <f t="shared" si="1"/>
        <v>8</v>
      </c>
    </row>
    <row r="46" spans="1:15" x14ac:dyDescent="0.3">
      <c r="A46" t="s">
        <v>233</v>
      </c>
      <c r="B46" t="s">
        <v>239</v>
      </c>
      <c r="C46" t="s">
        <v>240</v>
      </c>
      <c r="D46" t="s">
        <v>241</v>
      </c>
      <c r="E46" t="s">
        <v>17</v>
      </c>
      <c r="F46" t="s">
        <v>46</v>
      </c>
      <c r="G46" t="s">
        <v>242</v>
      </c>
      <c r="H46" t="s">
        <v>20</v>
      </c>
      <c r="I46" t="s">
        <v>113</v>
      </c>
      <c r="J46" t="s">
        <v>237</v>
      </c>
      <c r="K46">
        <v>8</v>
      </c>
      <c r="L46" t="s">
        <v>23</v>
      </c>
      <c r="M46" t="s">
        <v>243</v>
      </c>
      <c r="N46">
        <f t="shared" si="0"/>
        <v>5.4</v>
      </c>
      <c r="O46" s="1">
        <f t="shared" si="1"/>
        <v>8</v>
      </c>
    </row>
    <row r="47" spans="1:15" x14ac:dyDescent="0.3">
      <c r="A47" t="s">
        <v>233</v>
      </c>
      <c r="B47" t="s">
        <v>43</v>
      </c>
      <c r="C47" t="s">
        <v>244</v>
      </c>
      <c r="D47" t="s">
        <v>245</v>
      </c>
      <c r="E47" t="s">
        <v>17</v>
      </c>
      <c r="F47" t="s">
        <v>46</v>
      </c>
      <c r="G47" t="s">
        <v>246</v>
      </c>
      <c r="H47" t="s">
        <v>20</v>
      </c>
      <c r="I47" t="s">
        <v>34</v>
      </c>
      <c r="J47" t="s">
        <v>82</v>
      </c>
      <c r="K47">
        <v>10</v>
      </c>
      <c r="L47" t="s">
        <v>23</v>
      </c>
      <c r="M47" t="s">
        <v>247</v>
      </c>
      <c r="N47">
        <f t="shared" si="0"/>
        <v>2.9</v>
      </c>
      <c r="O47" s="1">
        <f t="shared" si="1"/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Yinka Daramola</cp:lastModifiedBy>
  <dcterms:created xsi:type="dcterms:W3CDTF">2026-04-10T15:36:15Z</dcterms:created>
  <dcterms:modified xsi:type="dcterms:W3CDTF">2026-04-16T03:09:31Z</dcterms:modified>
</cp:coreProperties>
</file>